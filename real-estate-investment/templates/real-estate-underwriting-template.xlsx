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b9c56edc5c4ed3" /></Relationships>
</file>

<file path=xl/workbook.xml><?xml version="1.0" encoding="utf-8"?>
<x:workbook xmlns:x="http://schemas.openxmlformats.org/spreadsheetml/2006/main">
  <x:sheets>
    <x:sheet xmlns:r="http://schemas.openxmlformats.org/officeDocument/2006/relationships" name="Instructions" sheetId="1" r:id="R075cc595fec14ae6"/>
    <x:sheet xmlns:r="http://schemas.openxmlformats.org/officeDocument/2006/relationships" name="Inputs" sheetId="2" r:id="Rf2d52ecd66304b7e"/>
    <x:sheet xmlns:r="http://schemas.openxmlformats.org/officeDocument/2006/relationships" name="Underwriting" sheetId="3" r:id="R5a14aaad42e943e1"/>
    <x:sheet xmlns:r="http://schemas.openxmlformats.org/officeDocument/2006/relationships" name="Sources" sheetId="4" r:id="Ree9cf58a43a840f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_(&quot;$&quot;_* #,##0_);_(&quot;$&quot;_* (#,##0);_(* &quot;-&quot;_);_(@_)"/>
    <x:numFmt numFmtId="202" formatCode="_(* #,##0_);_(* (#,##0);_(* &quot;-&quot;_);_(@_)"/>
    <x:numFmt numFmtId="203" formatCode="_(* 0.0%_);_(* (0.0%);_(* &quot;-&quot;_);_(@_)"/>
    <x:numFmt numFmtId="204" formatCode="0.0"/>
  </x:numFmts>
  <x:fonts count="9">
    <x:font>
      <x:sz val="11"/>
      <x:name val="Carlito"/>
    </x:font>
    <x:font>
      <x:sz val="10"/>
      <x:color rgb="FF1F1F1F"/>
      <x:name val="Arial"/>
    </x:font>
    <x:font>
      <x:b/>
      <x:sz val="15"/>
      <x:name val="Arial"/>
    </x:font>
    <x:font>
      <x:i/>
      <x:sz val="10"/>
      <x:color rgb="FF595959"/>
      <x:name val="Arial"/>
    </x:font>
    <x:font>
      <x:b/>
      <x:sz val="10"/>
      <x:color rgb="FFFFFFFF"/>
      <x:name val="Arial"/>
    </x:font>
    <x:font>
      <x:b/>
      <x:sz val="11"/>
      <x:name val="Arial"/>
    </x:font>
    <x:font>
      <x:sz val="11"/>
      <x:color rgb="FF0000FF"/>
      <x:name val="Arial"/>
    </x:font>
    <x:font>
      <x:sz val="11"/>
      <x:color rgb="FF008000"/>
      <x:name val="Arial"/>
    </x:font>
    <x:font>
      <x:b/>
      <x:sz val="10"/>
      <x:color rgb="FF008000"/>
      <x:name val="Arial"/>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s>
  <x:borders count="16">
    <x:border/>
    <x:border>
      <x:bottom style="thin">
        <x:color rgb="FF1F4E78"/>
      </x:bottom>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left style="thin">
        <x:color rgb="FFD9E2F3"/>
      </x:left>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right style="thin">
        <x:color rgb="FFD9E2F3"/>
      </x:right>
      <x:bottom style="thin">
        <x:color rgb="FFD9E2F3"/>
      </x:bottom>
    </x:border>
    <x:border>
      <x:top style="thin">
        <x:color rgb="FFD9E2F3"/>
      </x:top>
    </x:border>
    <x:border>
      <x:bottom style="thin">
        <x:color rgb="FFD9E2F3"/>
      </x:bottom>
    </x:border>
    <x:border>
      <x:left style="thin">
        <x:color rgb="FFFFFFFF"/>
      </x:left>
      <x:right style="thin">
        <x:color rgb="FFFFFFFF"/>
      </x:right>
      <x:top style="thin">
        <x:color rgb="FFFFFFFF"/>
      </x:top>
      <x:bottom style="thin">
        <x:color rgb="FFFFFFFF"/>
      </x:bottom>
    </x:border>
    <x:border>
      <x:left style="thin">
        <x:color rgb="FFD9E2F3"/>
      </x:left>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1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4" xfId="0" applyNumberFormat="1" applyFont="1" applyFill="1" applyBorder="1"/>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5" fillId="3"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3" borderId="5" xfId="0" applyNumberFormat="1" applyFont="1" applyFill="1" applyBorder="1" applyAlignment="1">
      <x:alignment horizontal="center" vertical="top"/>
    </x:xf>
    <x:xf numFmtId="0" fontId="0" fillId="0" borderId="6" xfId="0" applyNumberFormat="1" applyFont="1" applyFill="1" applyBorder="1" applyAlignment="1">
      <x:alignment vertical="top" wrapText="1"/>
    </x:xf>
    <x:xf numFmtId="0" fontId="5" fillId="3"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5" fillId="3" borderId="9" xfId="0" applyNumberFormat="1" applyFont="1" applyFill="1" applyBorder="1" applyAlignment="1">
      <x:alignment horizontal="center" vertical="top"/>
    </x:xf>
    <x:xf numFmtId="0" fontId="0" fillId="0" borderId="10" xfId="0" applyNumberFormat="1" applyFont="1" applyFill="1" applyBorder="1" applyAlignment="1">
      <x:alignment vertical="top" wrapText="1"/>
    </x:xf>
    <x:xf numFmtId="0" fontId="0" fillId="4" borderId="0" xfId="0" applyNumberFormat="1" applyFont="1" applyFill="1" applyBorder="1"/>
    <x:xf numFmtId="0" fontId="0" fillId="4" borderId="5" xfId="0" applyNumberFormat="1" applyFont="1" applyFill="1" applyBorder="1"/>
    <x:xf numFmtId="0" fontId="0" fillId="4" borderId="11"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12" xfId="0" applyNumberFormat="1" applyFont="1" applyFill="1" applyBorder="1"/>
    <x:xf numFmtId="0" fontId="0" fillId="4" borderId="10" xfId="0" applyNumberFormat="1" applyFont="1" applyFill="1" applyBorder="1"/>
    <x:xf numFmtId="0" fontId="0" fillId="4" borderId="5" xfId="0" applyNumberFormat="1" applyFont="1" applyFill="1" applyBorder="1" applyAlignment="1">
      <x:alignment wrapText="1"/>
    </x:xf>
    <x:xf numFmtId="0" fontId="0" fillId="4" borderId="11" xfId="0" applyNumberFormat="1" applyFont="1" applyFill="1" applyBorder="1" applyAlignment="1">
      <x:alignment wrapText="1"/>
    </x:xf>
    <x:xf numFmtId="0" fontId="0" fillId="4" borderId="6" xfId="0" applyNumberFormat="1" applyFont="1" applyFill="1" applyBorder="1" applyAlignment="1">
      <x:alignment wrapText="1"/>
    </x:xf>
    <x:xf numFmtId="0" fontId="0" fillId="4" borderId="7"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8" xfId="0" applyNumberFormat="1" applyFont="1" applyFill="1" applyBorder="1" applyAlignment="1">
      <x:alignment wrapText="1"/>
    </x:xf>
    <x:xf numFmtId="0" fontId="0" fillId="4" borderId="9" xfId="0" applyNumberFormat="1" applyFont="1" applyFill="1" applyBorder="1" applyAlignment="1">
      <x:alignment wrapText="1"/>
    </x:xf>
    <x:xf numFmtId="0" fontId="0" fillId="4" borderId="12" xfId="0" applyNumberFormat="1" applyFont="1" applyFill="1" applyBorder="1" applyAlignment="1">
      <x:alignment wrapText="1"/>
    </x:xf>
    <x:xf numFmtId="0" fontId="0" fillId="4" borderId="10" xfId="0" applyNumberFormat="1" applyFont="1" applyFill="1" applyBorder="1" applyAlignment="1">
      <x:alignment wrapText="1"/>
    </x:xf>
    <x:xf numFmtId="0" fontId="0" fillId="4" borderId="5"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4" fillId="2" borderId="13" xfId="0" applyNumberFormat="1" applyFont="1" applyFill="1" applyBorder="1"/>
    <x:xf numFmtId="0" fontId="4" fillId="2" borderId="13" xfId="0" applyNumberFormat="1" applyFont="1" applyFill="1" applyBorder="1" applyAlignment="1">
      <x:alignment wrapText="1"/>
    </x:xf>
    <x:xf numFmtId="0" fontId="4" fillId="2" borderId="13" xfId="0" applyNumberFormat="1" applyFont="1" applyFill="1" applyBorder="1" applyAlignment="1">
      <x:alignment horizontal="center" wrapText="1"/>
    </x:xf>
    <x:xf numFmtId="0" fontId="4" fillId="2" borderId="13" xfId="0" applyNumberFormat="1" applyFont="1" applyFill="1" applyBorder="1" applyAlignment="1">
      <x:alignment horizontal="center" vertical="center" wrapText="1"/>
    </x:xf>
    <x:xf numFmtId="0" fontId="0" fillId="0" borderId="5" xfId="0" applyNumberFormat="1" applyFont="1" applyFill="1" applyBorder="1"/>
    <x:xf numFmtId="0" fontId="0" fillId="0" borderId="11"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2" xfId="0" applyNumberFormat="1" applyFont="1" applyFill="1" applyBorder="1"/>
    <x:xf numFmtId="0" fontId="0" fillId="0" borderId="10" xfId="0" applyNumberFormat="1" applyFont="1" applyFill="1" applyBorder="1"/>
    <x:xf numFmtId="0" fontId="0" fillId="5" borderId="11" xfId="0" applyNumberFormat="1" applyFont="1" applyFill="1" applyBorder="1"/>
    <x:xf numFmtId="0" fontId="0" fillId="5" borderId="0" xfId="0" applyNumberFormat="1" applyFont="1" applyFill="1" applyBorder="1"/>
    <x:xf numFmtId="0" fontId="0" fillId="5" borderId="12" xfId="0" applyNumberFormat="1" applyFont="1" applyFill="1" applyBorder="1"/>
    <x:xf numFmtId="0" fontId="6" fillId="5" borderId="11" xfId="0" applyNumberFormat="1" applyFont="1" applyFill="1" applyBorder="1"/>
    <x:xf numFmtId="0" fontId="6" fillId="5" borderId="0" xfId="0" applyNumberFormat="1" applyFont="1" applyFill="1" applyBorder="1"/>
    <x:xf numFmtId="0" fontId="6" fillId="5" borderId="12" xfId="0" applyNumberFormat="1" applyFont="1" applyFill="1" applyBorder="1"/>
    <x:xf numFmtId="200" fontId="6" fillId="5" borderId="0" xfId="0" applyNumberFormat="1" applyFont="1" applyFill="1" applyBorder="1"/>
    <x:xf numFmtId="201" fontId="6" fillId="5" borderId="0" xfId="0" applyNumberFormat="1" applyFont="1" applyFill="1" applyBorder="1"/>
    <x:xf numFmtId="201" fontId="6" fillId="5" borderId="12" xfId="0" applyNumberFormat="1" applyFont="1" applyFill="1" applyBorder="1"/>
    <x:xf numFmtId="201" fontId="6" fillId="5" borderId="11" xfId="0" applyNumberFormat="1" applyFont="1" applyFill="1" applyBorder="1"/>
    <x:xf numFmtId="202" fontId="6" fillId="5" borderId="0" xfId="0" applyNumberFormat="1" applyFont="1" applyFill="1" applyBorder="1"/>
    <x:xf numFmtId="203" fontId="6" fillId="5" borderId="0" xfId="0" applyNumberFormat="1" applyFont="1" applyFill="1" applyBorder="1"/>
    <x:xf numFmtId="203" fontId="6" fillId="5" borderId="12" xfId="0" applyNumberFormat="1" applyFont="1" applyFill="1" applyBorder="1"/>
    <x:xf numFmtId="204" fontId="6" fillId="5" borderId="12" xfId="0" applyNumberFormat="1" applyFont="1" applyFill="1" applyBorder="1"/>
    <x:xf numFmtId="204" fontId="6" fillId="5" borderId="11"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5" xfId="0" applyNumberFormat="1" applyFont="1" applyFill="1" applyBorder="1" applyAlignment="1">
      <x:alignment wrapText="1"/>
    </x:xf>
    <x:xf numFmtId="0" fontId="7" fillId="0" borderId="11" xfId="0" applyNumberFormat="1" applyFont="1" applyFill="1" applyBorder="1"/>
    <x:xf numFmtId="0" fontId="7" fillId="0" borderId="0" xfId="0" applyNumberFormat="1" applyFont="1" applyFill="1" applyBorder="1"/>
    <x:xf numFmtId="0" fontId="7" fillId="0" borderId="12" xfId="0" applyNumberFormat="1" applyFont="1" applyFill="1" applyBorder="1"/>
    <x:xf numFmtId="0" fontId="8" fillId="2" borderId="3" xfId="0" applyNumberFormat="1" applyFont="1" applyFill="1" applyBorder="1" applyAlignment="1">
      <x:alignment vertical="center"/>
    </x:xf>
    <x:xf numFmtId="201" fontId="7" fillId="0" borderId="11" xfId="0" applyNumberFormat="1" applyFont="1" applyFill="1" applyBorder="1"/>
    <x:xf numFmtId="201" fontId="7" fillId="0" borderId="0" xfId="0" applyNumberFormat="1" applyFont="1" applyFill="1" applyBorder="1"/>
    <x:xf numFmtId="201" fontId="7" fillId="0" borderId="12" xfId="0" applyNumberFormat="1" applyFont="1" applyFill="1" applyBorder="1"/>
    <x:xf numFmtId="203" fontId="7" fillId="0" borderId="0" xfId="0" applyNumberFormat="1" applyFont="1" applyFill="1" applyBorder="1"/>
    <x:xf numFmtId="203" fontId="7" fillId="0" borderId="12" xfId="0" applyNumberFormat="1" applyFont="1" applyFill="1" applyBorder="1"/>
    <x:xf numFmtId="0" fontId="0" fillId="0" borderId="5"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f8a08985014607" /><Relationship Type="http://schemas.openxmlformats.org/officeDocument/2006/relationships/theme" Target="/xl/theme/theme1.xml" Id="Raecb3fae3dc94215" /><Relationship Type="http://schemas.openxmlformats.org/officeDocument/2006/relationships/sharedStrings" Target="/xl/sharedStrings.xml" Id="R0829fd4dfae14130" /><Relationship Type="http://schemas.openxmlformats.org/officeDocument/2006/relationships/worksheet" Target="/xl/worksheets/sheet1.xml" Id="R075cc595fec14ae6" /><Relationship Type="http://schemas.openxmlformats.org/officeDocument/2006/relationships/worksheet" Target="/xl/worksheets/sheet2.xml" Id="Rf2d52ecd66304b7e" /><Relationship Type="http://schemas.openxmlformats.org/officeDocument/2006/relationships/worksheet" Target="/xl/worksheets/sheet3.xml" Id="R5a14aaad42e943e1" /><Relationship Type="http://schemas.openxmlformats.org/officeDocument/2006/relationships/worksheet" Target="/xl/worksheets/sheet4.xml" Id="Ree9cf58a43a840f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A6A6A6"/>
  </x:sheetPr>
  <x:sheetViews>
    <x:sheetView showGridLines="0" workbookViewId="0"/>
  </x:sheetViews>
  <x:sheetFormatPr defaultRowHeight="15"/>
  <x:cols>
    <x:col min="1" max="1" width="2" hidden="0" customWidth="1"/>
    <x:col min="2" max="2" width="2" hidden="0" customWidth="1"/>
    <x:col min="3" max="3" width="4" hidden="0" customWidth="1"/>
    <x:col min="4" max="4" width="90" hidden="0" customWidth="1"/>
    <x:col min="5" max="5" width="18" hidden="0" customWidth="1"/>
    <x:col min="6" max="6" width="18" hidden="0" customWidth="1"/>
    <x:col min="7" max="7" width="3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C2" s="4" t="str">
        <x:v>Single-Property Underwriting Template</x:v>
      </x:c>
      <x:c r="D2" s="4"/>
      <x:c r="E2" s="4"/>
      <x:c r="F2" s="4"/>
      <x:c r="G2" s="4"/>
    </x:row>
    <x:row r="3" ht="28" customHeight="1">
      <x:c r="C3" s="7" t="str">
        <x:v>Blank workbook. Enter sourced inputs before using any calculated output.</x:v>
      </x:c>
      <x:c r="D3" s="7"/>
      <x:c r="E3" s="7"/>
      <x:c r="F3" s="7"/>
      <x:c r="G3" s="7"/>
    </x:row>
    <x:row r="6">
      <x:c r="C6" s="13" t="str">
        <x:v>How to use this workbook</x:v>
      </x:c>
      <x:c r="D6" s="14"/>
      <x:c r="E6" s="14"/>
      <x:c r="F6" s="14"/>
      <x:c r="G6" s="15"/>
    </x:row>
    <x:row r="8" ht="36" customHeight="1">
      <x:c r="C8" s="22" t="str">
        <x:v>1</x:v>
      </x:c>
      <x:c r="D8" s="23" t="str">
        <x:v>Complete blue input cells in Inputs. Leave a cell blank when the value is unknown.</x:v>
      </x:c>
    </x:row>
    <x:row r="9" ht="36" customHeight="1">
      <x:c r="C9" s="24" t="str">
        <x:v>2</x:v>
      </x:c>
      <x:c r="D9" s="25" t="str">
        <x:v>Record each material input and date in Sources. Do not use an example as a market assumption.</x:v>
      </x:c>
    </x:row>
    <x:row r="10" ht="36" customHeight="1">
      <x:c r="C10" s="24" t="str">
        <x:v>3</x:v>
      </x:c>
      <x:c r="D10" s="25" t="str">
        <x:v>Review Underwriting for formula-driven results and incomplete-input messages.</x:v>
      </x:c>
    </x:row>
    <x:row r="11" ht="36" customHeight="1">
      <x:c r="C11" s="24" t="str">
        <x:v>4</x:v>
      </x:c>
      <x:c r="D11" s="25" t="str">
        <x:v>Build a separate period-by-period model for construction, lease-up, floating-rate debt, complex waterfalls, or seasonal operations.</x:v>
      </x:c>
    </x:row>
    <x:row r="12" ht="36" customHeight="1">
      <x:c r="C12" s="26" t="str">
        <x:v>5</x:v>
      </x:c>
      <x:c r="D12" s="27" t="str">
        <x:v>Have qualified legal, tax, lending, accounting, valuation, title, and technical professionals review decision-critical conclusions.</x:v>
      </x:c>
    </x:row>
    <x:row r="15">
      <x:c r="C15" s="13" t="str">
        <x:v>Scope and confidentiality</x:v>
      </x:c>
      <x:c r="D15" s="14"/>
      <x:c r="E15" s="14"/>
      <x:c r="F15" s="14"/>
      <x:c r="G15" s="15"/>
    </x:row>
    <x:row r="17">
      <x:c r="C17" s="46" t="str">
        <x:v>This template is a calculation aid, not financial, legal, tax, accounting, lending, or investment advice. It does not validate market evidence, loan eligibility, or document terms. Store completed files only in an authorized private location. Do not include personal identifiers, account numbers, credentials, or confidential deal documents unless necessary and authorized.</x:v>
      </x:c>
      <x:c r="D17" s="47"/>
      <x:c r="E17" s="47"/>
      <x:c r="F17" s="47"/>
      <x:c r="G17" s="48"/>
    </x:row>
    <x:row r="18">
      <x:c r="C18" s="49"/>
      <x:c r="D18" s="50"/>
      <x:c r="E18" s="50"/>
      <x:c r="F18" s="50"/>
      <x:c r="G18" s="51"/>
    </x:row>
    <x:row r="19">
      <x:c r="C19" s="49"/>
      <x:c r="D19" s="50"/>
      <x:c r="E19" s="50"/>
      <x:c r="F19" s="50"/>
      <x:c r="G19" s="51"/>
    </x:row>
    <x:row r="20">
      <x:c r="C20" s="52"/>
      <x:c r="D20" s="53"/>
      <x:c r="E20" s="53"/>
      <x:c r="F20" s="53"/>
      <x:c r="G20" s="54"/>
    </x:row>
  </x:sheetData>
  <x:mergeCells>
    <x:mergeCell ref="C2:G2"/>
    <x:mergeCell ref="C3:G3"/>
    <x:mergeCell ref="C6:G6"/>
    <x:mergeCell ref="C15:G15"/>
    <x:mergeCell ref="C17:G20"/>
  </x:mergeCells>
  <x:pageMargins left="0.7" right="0.7" top="0.75" bottom="0.75" header="0.3" footer="0.3"/>
</x:worksheet>
</file>

<file path=xl/worksheets/sheet2.xml><?xml version="1.0" encoding="utf-8"?>
<x:worksheet xmlns:x="http://schemas.openxmlformats.org/spreadsheetml/2006/main">
  <x:sheetPr>
    <x:tabColor rgb="FFD6C28D"/>
  </x:sheetPr>
  <x:sheetViews>
    <x:sheetView showGridLines="0" workbookViewId="0">
      <x:pane ySplit="8" topLeftCell="A9" activePane="bottomLeft" state="frozen"/>
    </x:sheetView>
  </x:sheetViews>
  <x:sheetFormatPr defaultRowHeight="15"/>
  <x:cols>
    <x:col min="1" max="1" width="2" hidden="0" customWidth="1"/>
    <x:col min="2" max="2" width="2" hidden="0" customWidth="1"/>
    <x:col min="3" max="3" width="34" hidden="0" customWidth="1"/>
    <x:col min="4" max="4" width="20" hidden="0" customWidth="1"/>
    <x:col min="5" max="5" width="18" hidden="0" customWidth="1"/>
    <x:col min="6" max="6" width="18" hidden="0" customWidth="1"/>
    <x:col min="7" max="7" width="3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C2" s="4" t="str">
        <x:v>Single-Property Underwriting Inputs</x:v>
      </x:c>
      <x:c r="D2" s="4"/>
      <x:c r="E2" s="4"/>
      <x:c r="F2" s="4"/>
      <x:c r="G2" s="4"/>
    </x:row>
    <x:row r="3" ht="28" customHeight="1">
      <x:c r="C3" s="7" t="str">
        <x:v>Enter one currency consistently. Rates are decimals: 0.06 represents 6.0%.</x:v>
      </x:c>
      <x:c r="D3" s="7"/>
      <x:c r="E3" s="7"/>
      <x:c r="F3" s="7"/>
      <x:c r="G3" s="7"/>
    </x:row>
    <x:row r="7">
      <x:c r="C7" s="58" t="str">
        <x:v>Input</x:v>
      </x:c>
      <x:c r="D7" s="58" t="str">
        <x:v>Value</x:v>
      </x:c>
      <x:c r="E7" s="58" t="str">
        <x:v>Unit</x:v>
      </x:c>
      <x:c r="F7" s="58" t="str">
        <x:v>Source ID</x:v>
      </x:c>
      <x:c r="G7" s="58" t="str">
        <x:v>Notes</x:v>
      </x:c>
    </x:row>
    <x:row r="8">
      <x:c r="C8" s="13" t="str">
        <x:v>Property and operations</x:v>
      </x:c>
      <x:c r="D8" s="14"/>
      <x:c r="E8" s="14"/>
      <x:c r="F8" s="14"/>
      <x:c r="G8" s="15"/>
    </x:row>
    <x:row r="9">
      <x:c r="C9" s="59" t="str">
        <x:v>Property name</x:v>
      </x:c>
      <x:c r="D9" s="71"/>
      <x:c r="E9" s="60" t="str">
        <x:v>text</x:v>
      </x:c>
      <x:c r="F9" s="60"/>
      <x:c r="G9" s="61" t="str"/>
    </x:row>
    <x:row r="10">
      <x:c r="C10" s="62" t="str">
        <x:v>Currency</x:v>
      </x:c>
      <x:c r="D10" s="72"/>
      <x:c r="E10" s="63" t="str">
        <x:v>text</x:v>
      </x:c>
      <x:c r="F10" s="63"/>
      <x:c r="G10" s="64" t="str"/>
    </x:row>
    <x:row r="11">
      <x:c r="C11" s="62" t="str">
        <x:v>As-of date</x:v>
      </x:c>
      <x:c r="D11" s="74"/>
      <x:c r="E11" s="63" t="str">
        <x:v>date</x:v>
      </x:c>
      <x:c r="F11" s="63"/>
      <x:c r="G11" s="64" t="str"/>
    </x:row>
    <x:row r="12">
      <x:c r="C12" s="62" t="str">
        <x:v>Purchase price</x:v>
      </x:c>
      <x:c r="D12" s="75"/>
      <x:c r="E12" s="63" t="str">
        <x:v>currency</x:v>
      </x:c>
      <x:c r="F12" s="63"/>
      <x:c r="G12" s="64" t="str">
        <x:v>Required</x:v>
      </x:c>
    </x:row>
    <x:row r="13">
      <x:c r="C13" s="62" t="str">
        <x:v>Unit count</x:v>
      </x:c>
      <x:c r="D13" s="78"/>
      <x:c r="E13" s="63" t="str">
        <x:v>count</x:v>
      </x:c>
      <x:c r="F13" s="63"/>
      <x:c r="G13" s="64" t="str">
        <x:v>Optional if gross potential income is supplied</x:v>
      </x:c>
    </x:row>
    <x:row r="14">
      <x:c r="C14" s="62" t="str">
        <x:v>Monthly rent per unit</x:v>
      </x:c>
      <x:c r="D14" s="75"/>
      <x:c r="E14" s="63" t="str">
        <x:v>currency / month</x:v>
      </x:c>
      <x:c r="F14" s="63"/>
      <x:c r="G14" s="64" t="str">
        <x:v>Optional if gross potential income is supplied</x:v>
      </x:c>
    </x:row>
    <x:row r="15">
      <x:c r="C15" s="62" t="str">
        <x:v>Annual gross potential income</x:v>
      </x:c>
      <x:c r="D15" s="75"/>
      <x:c r="E15" s="63" t="str">
        <x:v>currency / year</x:v>
      </x:c>
      <x:c r="F15" s="63"/>
      <x:c r="G15" s="64" t="str">
        <x:v>Optional if units and monthly rent are supplied</x:v>
      </x:c>
    </x:row>
    <x:row r="16">
      <x:c r="C16" s="62" t="str">
        <x:v>Annual other income</x:v>
      </x:c>
      <x:c r="D16" s="75"/>
      <x:c r="E16" s="63" t="str">
        <x:v>currency / year</x:v>
      </x:c>
      <x:c r="F16" s="63"/>
      <x:c r="G16" s="64" t="str">
        <x:v>Optional</x:v>
      </x:c>
    </x:row>
    <x:row r="17">
      <x:c r="C17" s="62" t="str">
        <x:v>Vacancy and collection loss rate</x:v>
      </x:c>
      <x:c r="D17" s="79"/>
      <x:c r="E17" s="63" t="str">
        <x:v>rate</x:v>
      </x:c>
      <x:c r="F17" s="63"/>
      <x:c r="G17" s="64" t="str">
        <x:v>Required</x:v>
      </x:c>
    </x:row>
    <x:row r="18">
      <x:c r="C18" s="62" t="str">
        <x:v>Annual operating expenses</x:v>
      </x:c>
      <x:c r="D18" s="75"/>
      <x:c r="E18" s="63" t="str">
        <x:v>currency / year</x:v>
      </x:c>
      <x:c r="F18" s="63"/>
      <x:c r="G18" s="64" t="str">
        <x:v>Required</x:v>
      </x:c>
    </x:row>
    <x:row r="19">
      <x:c r="C19" s="65" t="str">
        <x:v>Annual capital reserves</x:v>
      </x:c>
      <x:c r="D19" s="76"/>
      <x:c r="E19" s="66" t="str">
        <x:v>currency / year</x:v>
      </x:c>
      <x:c r="F19" s="66"/>
      <x:c r="G19" s="67" t="str">
        <x:v>Optional</x:v>
      </x:c>
    </x:row>
    <x:row r="22">
      <x:c r="C22" s="13" t="str">
        <x:v>Acquisition and financing</x:v>
      </x:c>
      <x:c r="D22" s="14"/>
      <x:c r="E22" s="14"/>
      <x:c r="F22" s="14"/>
      <x:c r="G22" s="15"/>
    </x:row>
    <x:row r="23">
      <x:c r="C23" s="59" t="str">
        <x:v>Acquisition costs</x:v>
      </x:c>
      <x:c r="D23" s="77"/>
      <x:c r="E23" s="60" t="str">
        <x:v>currency</x:v>
      </x:c>
      <x:c r="F23" s="60"/>
      <x:c r="G23" s="61" t="str">
        <x:v>Optional</x:v>
      </x:c>
    </x:row>
    <x:row r="24">
      <x:c r="C24" s="62" t="str">
        <x:v>Renovation capex</x:v>
      </x:c>
      <x:c r="D24" s="75"/>
      <x:c r="E24" s="63" t="str">
        <x:v>currency</x:v>
      </x:c>
      <x:c r="F24" s="63"/>
      <x:c r="G24" s="64" t="str">
        <x:v>Optional</x:v>
      </x:c>
    </x:row>
    <x:row r="25">
      <x:c r="C25" s="62" t="str">
        <x:v>Initial reserves</x:v>
      </x:c>
      <x:c r="D25" s="75"/>
      <x:c r="E25" s="63" t="str">
        <x:v>currency</x:v>
      </x:c>
      <x:c r="F25" s="63"/>
      <x:c r="G25" s="64" t="str">
        <x:v>Optional</x:v>
      </x:c>
    </x:row>
    <x:row r="26">
      <x:c r="C26" s="62" t="str">
        <x:v>Loan amount</x:v>
      </x:c>
      <x:c r="D26" s="75"/>
      <x:c r="E26" s="63" t="str">
        <x:v>currency</x:v>
      </x:c>
      <x:c r="F26" s="63"/>
      <x:c r="G26" s="64" t="str">
        <x:v>Enter zero for an all-cash purchase</x:v>
      </x:c>
    </x:row>
    <x:row r="27">
      <x:c r="C27" s="62" t="str">
        <x:v>Origination fees</x:v>
      </x:c>
      <x:c r="D27" s="75"/>
      <x:c r="E27" s="63" t="str">
        <x:v>currency</x:v>
      </x:c>
      <x:c r="F27" s="63"/>
      <x:c r="G27" s="64" t="str">
        <x:v>Optional</x:v>
      </x:c>
    </x:row>
    <x:row r="28">
      <x:c r="C28" s="62" t="str">
        <x:v>Annual interest rate</x:v>
      </x:c>
      <x:c r="D28" s="79"/>
      <x:c r="E28" s="63" t="str">
        <x:v>rate</x:v>
      </x:c>
      <x:c r="F28" s="63"/>
      <x:c r="G28" s="64" t="str">
        <x:v>Required when debt is used</x:v>
      </x:c>
    </x:row>
    <x:row r="29">
      <x:c r="C29" s="65" t="str">
        <x:v>Amortization years</x:v>
      </x:c>
      <x:c r="D29" s="81"/>
      <x:c r="E29" s="66" t="str">
        <x:v>years</x:v>
      </x:c>
      <x:c r="F29" s="66"/>
      <x:c r="G29" s="67" t="str">
        <x:v>Required when debt is used</x:v>
      </x:c>
    </x:row>
    <x:row r="32">
      <x:c r="C32" s="13" t="str">
        <x:v>Hold and exit assumptions</x:v>
      </x:c>
      <x:c r="D32" s="14"/>
      <x:c r="E32" s="14"/>
      <x:c r="F32" s="14"/>
      <x:c r="G32" s="15"/>
    </x:row>
    <x:row r="33">
      <x:c r="C33" s="59" t="str">
        <x:v>Hold years</x:v>
      </x:c>
      <x:c r="D33" s="82"/>
      <x:c r="E33" s="60" t="str">
        <x:v>years</x:v>
      </x:c>
      <x:c r="F33" s="60"/>
      <x:c r="G33" s="61" t="str">
        <x:v>Required for exit analysis</x:v>
      </x:c>
    </x:row>
    <x:row r="34">
      <x:c r="C34" s="62" t="str">
        <x:v>Annual NOI growth rate</x:v>
      </x:c>
      <x:c r="D34" s="79"/>
      <x:c r="E34" s="63" t="str">
        <x:v>rate</x:v>
      </x:c>
      <x:c r="F34" s="63"/>
      <x:c r="G34" s="64" t="str">
        <x:v>Optional for exit analysis</x:v>
      </x:c>
    </x:row>
    <x:row r="35">
      <x:c r="C35" s="62" t="str">
        <x:v>Exit cap rate</x:v>
      </x:c>
      <x:c r="D35" s="79"/>
      <x:c r="E35" s="63" t="str">
        <x:v>rate</x:v>
      </x:c>
      <x:c r="F35" s="63"/>
      <x:c r="G35" s="64" t="str">
        <x:v>Required for exit analysis</x:v>
      </x:c>
    </x:row>
    <x:row r="36">
      <x:c r="C36" s="65" t="str">
        <x:v>Sale cost rate</x:v>
      </x:c>
      <x:c r="D36" s="80"/>
      <x:c r="E36" s="66" t="str">
        <x:v>rate</x:v>
      </x:c>
      <x:c r="F36" s="66"/>
      <x:c r="G36" s="67" t="str">
        <x:v>Optional for exit analysis</x:v>
      </x:c>
    </x:row>
  </x:sheetData>
  <x:mergeCells>
    <x:mergeCell ref="C2:G2"/>
    <x:mergeCell ref="C3:G3"/>
    <x:mergeCell ref="C8:G8"/>
    <x:mergeCell ref="C22:G22"/>
    <x:mergeCell ref="C32:G32"/>
  </x:mergeCells>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pane ySplit="10" topLeftCell="A11" activePane="bottomLeft" state="frozen"/>
    </x:sheetView>
  </x:sheetViews>
  <x:sheetFormatPr defaultRowHeight="15"/>
  <x:cols>
    <x:col min="1" max="1" width="2" hidden="0" customWidth="1"/>
    <x:col min="2" max="2" width="2" hidden="0" customWidth="1"/>
    <x:col min="3" max="3" width="34" hidden="0" customWidth="1"/>
    <x:col min="4" max="4" width="20" hidden="0" customWidth="1"/>
    <x:col min="5" max="5" width="18" hidden="0" customWidth="1"/>
    <x:col min="6" max="6" width="18" hidden="0" customWidth="1"/>
    <x:col min="7" max="7" width="32"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C2" s="4" t="str">
        <x:v>Single-Property Underwriting</x:v>
      </x:c>
      <x:c r="D2" s="4"/>
      <x:c r="E2" s="4"/>
      <x:c r="F2" s="4"/>
    </x:row>
    <x:row r="3" ht="28" customHeight="1">
      <x:c r="C3" s="7" t="str">
        <x:v>Formula-driven outputs. Blank values indicate missing inputs or an analysis outside this template's scope.</x:v>
      </x:c>
      <x:c r="D3" s="7"/>
      <x:c r="E3" s="7"/>
      <x:c r="F3" s="7"/>
    </x:row>
    <x:row r="6">
      <x:c r="C6" s="13" t="str">
        <x:v>Input completeness</x:v>
      </x:c>
      <x:c r="D6" s="14"/>
      <x:c r="E6" s="14"/>
      <x:c r="F6" s="15"/>
    </x:row>
    <x:row r="8">
      <x:c r="C8" s="83" t="str">
        <x:v>Status</x:v>
      </x:c>
      <x:c r="D8" s="85" t="str">
        <x:f>IF('Inputs'!D12="","Missing input: purchase price",IF(D11="","Missing input: gross potential income or units and monthly rent",IF('Inputs'!D17="","Missing input: vacancy and collection loss rate",IF('Inputs'!D18="","Missing input: annual operating expenses","Review sources and assumptions"))))</x:f>
        <x:v>Missing input: purchase price</x:v>
      </x:c>
    </x:row>
    <x:row r="10">
      <x:c r="C10" s="13" t="str">
        <x:v>Year-one economics</x:v>
      </x:c>
      <x:c r="D10" s="14"/>
      <x:c r="E10" s="14"/>
      <x:c r="F10" s="15"/>
    </x:row>
    <x:row r="11">
      <x:c r="C11" s="59" t="str">
        <x:v>Gross potential income</x:v>
      </x:c>
      <x:c r="D11" s="90" t="str">
        <x:f>IF('Inputs'!D15&lt;&gt;"",'Inputs'!D15,IF(OR('Inputs'!D13="",'Inputs'!D14=""),"",'Inputs'!D13*'Inputs'!D14*12))</x:f>
      </x:c>
      <x:c r="E11" s="61" t="str">
        <x:v>Property income before vacancy</x:v>
      </x:c>
    </x:row>
    <x:row r="12">
      <x:c r="C12" s="62" t="str">
        <x:v>Effective gross income</x:v>
      </x:c>
      <x:c r="D12" s="91" t="str">
        <x:f>IF(OR(D11="",'Inputs'!D17=""),"",D11*(1-'Inputs'!D17)+'Inputs'!D16)</x:f>
      </x:c>
      <x:c r="E12" s="64" t="str">
        <x:v>Gross income less vacancy plus other income</x:v>
      </x:c>
    </x:row>
    <x:row r="13">
      <x:c r="C13" s="62" t="str">
        <x:v>NOI</x:v>
      </x:c>
      <x:c r="D13" s="91" t="str">
        <x:f>IF(OR(D12="",'Inputs'!D18=""),"",D12-'Inputs'!D18-'Inputs'!D19)</x:f>
      </x:c>
      <x:c r="E13" s="64" t="str">
        <x:v>Before debt service, income taxes, and distributions</x:v>
      </x:c>
    </x:row>
    <x:row r="14">
      <x:c r="C14" s="62" t="str">
        <x:v>Cap rate</x:v>
      </x:c>
      <x:c r="D14" s="93" t="str">
        <x:f>IF(OR(D13="",'Inputs'!D12="",'Inputs'!D12=0),"",D13/'Inputs'!D12)</x:f>
      </x:c>
      <x:c r="E14" s="64" t="str">
        <x:v>NOI / purchase price</x:v>
      </x:c>
    </x:row>
    <x:row r="15">
      <x:c r="C15" s="62" t="str">
        <x:v>Monthly debt service</x:v>
      </x:c>
      <x:c r="D15" s="91" t="str">
        <x:f>IF(ISBLANK('Inputs'!D26),"",IF('Inputs'!D26=0,0,IF(OR(ISBLANK('Inputs'!D28),ISBLANK('Inputs'!D29)),"",-PMT('Inputs'!D28/12,'Inputs'!D29*12,'Inputs'!D26))))</x:f>
      </x:c>
      <x:c r="E15" s="64" t="str">
        <x:v>Fixed-rate, fully amortizing payment</x:v>
      </x:c>
    </x:row>
    <x:row r="16">
      <x:c r="C16" s="62" t="str">
        <x:v>Annual debt service</x:v>
      </x:c>
      <x:c r="D16" s="91" t="str">
        <x:f>IF(ISBLANK('Inputs'!D26),"",D15*12)</x:f>
      </x:c>
      <x:c r="E16" s="64" t="str">
        <x:v>Monthly debt service x 12</x:v>
      </x:c>
    </x:row>
    <x:row r="17">
      <x:c r="C17" s="62" t="str">
        <x:v>DSCR</x:v>
      </x:c>
      <x:c r="D17" s="93" t="str">
        <x:f>IF(OR(D13="",D16="",D16=0),"",D13/D16)</x:f>
      </x:c>
      <x:c r="E17" s="64" t="str">
        <x:v>NOI / annual debt service</x:v>
      </x:c>
    </x:row>
    <x:row r="18">
      <x:c r="C18" s="62" t="str">
        <x:v>Debt yield</x:v>
      </x:c>
      <x:c r="D18" s="93" t="str">
        <x:f>IF(OR(D13="",'Inputs'!D26="",'Inputs'!D26=0),"",D13/'Inputs'!D26)</x:f>
      </x:c>
      <x:c r="E18" s="64" t="str">
        <x:v>NOI / loan amount</x:v>
      </x:c>
    </x:row>
    <x:row r="19">
      <x:c r="C19" s="62" t="str">
        <x:v>Total project cost</x:v>
      </x:c>
      <x:c r="D19" s="91" t="str">
        <x:f>IF('Inputs'!D12="","",'Inputs'!D12+'Inputs'!D23+'Inputs'!D24+'Inputs'!D25+'Inputs'!D27)</x:f>
      </x:c>
      <x:c r="E19" s="64" t="str">
        <x:v>Purchase price plus listed acquisition items</x:v>
      </x:c>
    </x:row>
    <x:row r="20">
      <x:c r="C20" s="62" t="str">
        <x:v>Cash invested</x:v>
      </x:c>
      <x:c r="D20" s="91" t="str">
        <x:f>IF(OR(ISBLANK(D19),ISBLANK('Inputs'!D26)),"",D19-'Inputs'!D26)</x:f>
      </x:c>
      <x:c r="E20" s="64" t="str">
        <x:v>Total project cost less loan amount</x:v>
      </x:c>
    </x:row>
    <x:row r="21">
      <x:c r="C21" s="62" t="str">
        <x:v>Annual cash flow</x:v>
      </x:c>
      <x:c r="D21" s="91" t="str">
        <x:f>IF(D13="","",D13-D16)</x:f>
      </x:c>
      <x:c r="E21" s="64" t="str">
        <x:v>NOI less annual debt service</x:v>
      </x:c>
    </x:row>
    <x:row r="22">
      <x:c r="C22" s="62" t="str">
        <x:v>Cash-on-cash return</x:v>
      </x:c>
      <x:c r="D22" s="93" t="str">
        <x:f>IF(OR(D20="",D20=0,D21=""),"",D21/D20)</x:f>
      </x:c>
      <x:c r="E22" s="64" t="str">
        <x:v>Annual cash flow / cash invested</x:v>
      </x:c>
    </x:row>
    <x:row r="23">
      <x:c r="C23" s="65" t="str">
        <x:v>Break-even income ratio</x:v>
      </x:c>
      <x:c r="D23" s="94" t="str">
        <x:f>IF(D11="","",IF(D11+'Inputs'!D16=0,"",('Inputs'!D18+'Inputs'!D19+D16)/(D11+'Inputs'!D16)))</x:f>
      </x:c>
      <x:c r="E23" s="67" t="str">
        <x:v>Operating costs plus debt service / potential income</x:v>
      </x:c>
    </x:row>
    <x:row r="24">
      <x:c r="D24" s="87"/>
    </x:row>
    <x:row r="25">
      <x:c r="D25" s="87"/>
    </x:row>
    <x:row r="26">
      <x:c r="C26" s="13" t="str">
        <x:v>Simple exit analysis</x:v>
      </x:c>
      <x:c r="D26" s="89"/>
      <x:c r="E26" s="14"/>
      <x:c r="F26" s="15"/>
    </x:row>
    <x:row r="27">
      <x:c r="C27" s="59" t="str">
        <x:v>Forward NOI at exit</x:v>
      </x:c>
      <x:c r="D27" s="90" t="str">
        <x:f>IF(OR(D13="",'Inputs'!D33="",'Inputs'!D34=""),"",D13*(1+'Inputs'!D34)^('Inputs'!D33+1))</x:f>
      </x:c>
      <x:c r="E27" s="61" t="str">
        <x:v>Year after the stated hold period</x:v>
      </x:c>
    </x:row>
    <x:row r="28">
      <x:c r="C28" s="62" t="str">
        <x:v>Gross sale value</x:v>
      </x:c>
      <x:c r="D28" s="91" t="str">
        <x:f>IF(OR(D27="",'Inputs'!D35="",'Inputs'!D35=0),"",D27/'Inputs'!D35)</x:f>
      </x:c>
      <x:c r="E28" s="64" t="str">
        <x:v>Forward NOI / exit cap rate</x:v>
      </x:c>
    </x:row>
    <x:row r="29">
      <x:c r="C29" s="62" t="str">
        <x:v>Sale costs</x:v>
      </x:c>
      <x:c r="D29" s="91" t="str">
        <x:f>IF(OR(ISBLANK(D28),ISBLANK('Inputs'!D36)),"",D28*'Inputs'!D36)</x:f>
      </x:c>
      <x:c r="E29" s="64" t="str">
        <x:v>Gross sale value x sale cost rate</x:v>
      </x:c>
    </x:row>
    <x:row r="30">
      <x:c r="C30" s="62" t="str">
        <x:v>Loan balance at exit</x:v>
      </x:c>
      <x:c r="D30" s="91" t="str">
        <x:f>IF(ISBLANK('Inputs'!D26),"",IF('Inputs'!D26=0,0,IF(OR(ISBLANK(D15),ISBLANK('Inputs'!D28),ISBLANK('Inputs'!D29),ISBLANK('Inputs'!D33)),"",-FV('Inputs'!D28/12,'Inputs'!D33*12,-D15,'Inputs'!D26))))</x:f>
      </x:c>
      <x:c r="E30" s="64" t="str">
        <x:v>Fixed-rate scheduled balance; excludes balloon or prepayment costs</x:v>
      </x:c>
    </x:row>
    <x:row r="31">
      <x:c r="C31" s="65" t="str">
        <x:v>Net sale proceeds after debt</x:v>
      </x:c>
      <x:c r="D31" s="92" t="str">
        <x:f>IF(OR(ISBLANK('Inputs'!D33),ISBLANK('Inputs'!D34),ISBLANK('Inputs'!D35),ISBLANK('Inputs'!D36)),"",D28-D29-D30)</x:f>
      </x:c>
      <x:c r="E31" s="67" t="str">
        <x:v>Gross sale value less sale costs and loan balance</x:v>
      </x:c>
    </x:row>
    <x:row r="34">
      <x:c r="C34" s="13" t="str">
        <x:v>Model limits</x:v>
      </x:c>
      <x:c r="D34" s="14"/>
      <x:c r="E34" s="14"/>
      <x:c r="F34" s="15"/>
    </x:row>
    <x:row r="36">
      <x:c r="C36" s="46" t="str">
        <x:v>This model is intentionally limited to a single property with annual operating inputs and fixed-rate amortizing debt. Use a dedicated period-by-period model for development, lease-up, hospitality seasonality, floating-rate or interest-only debt, complex waterfalls, multiple investor classes, tax calculations, or lender-specific covenants.</x:v>
      </x:c>
      <x:c r="D36" s="47"/>
      <x:c r="E36" s="47"/>
      <x:c r="F36" s="48"/>
    </x:row>
    <x:row r="37">
      <x:c r="C37" s="49"/>
      <x:c r="D37" s="50"/>
      <x:c r="E37" s="50"/>
      <x:c r="F37" s="51"/>
    </x:row>
    <x:row r="38">
      <x:c r="C38" s="52"/>
      <x:c r="D38" s="53"/>
      <x:c r="E38" s="53"/>
      <x:c r="F38" s="54"/>
    </x:row>
  </x:sheetData>
  <x:mergeCells>
    <x:mergeCell ref="C2:F2"/>
    <x:mergeCell ref="C3:F3"/>
    <x:mergeCell ref="C6:F6"/>
    <x:mergeCell ref="C10:F10"/>
    <x:mergeCell ref="C26:F26"/>
    <x:mergeCell ref="C34:F34"/>
    <x:mergeCell ref="C36:F38"/>
  </x:mergeCells>
  <x:pageMargins left="0.7" right="0.7" top="0.75" bottom="0.75" header="0.3" footer="0.3"/>
</x:worksheet>
</file>

<file path=xl/worksheets/sheet4.xml><?xml version="1.0" encoding="utf-8"?>
<x:worksheet xmlns:x="http://schemas.openxmlformats.org/spreadsheetml/2006/main">
  <x:sheetPr>
    <x:tabColor rgb="FFA6A6A6"/>
  </x:sheetPr>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14" hidden="0" customWidth="1"/>
    <x:col min="4" max="4" width="26" hidden="0" customWidth="1"/>
    <x:col min="5" max="5" width="18" hidden="0" customWidth="1"/>
    <x:col min="6" max="6" width="16" hidden="0" customWidth="1"/>
    <x:col min="7" max="7" width="40" hidden="0" customWidth="1"/>
    <x:col min="8" max="8" width="15" hidden="0" customWidth="1"/>
    <x:col min="9" max="9" width="15" hidden="0" customWidth="1"/>
    <x:col min="10" max="10" width="18"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4" customHeight="1">
      <x:c r="C2" s="4" t="str">
        <x:v>Sources and Assumptions</x:v>
      </x:c>
      <x:c r="D2" s="4"/>
      <x:c r="E2" s="4"/>
      <x:c r="F2" s="4"/>
      <x:c r="G2" s="4"/>
      <x:c r="H2" s="4"/>
      <x:c r="I2" s="4"/>
      <x:c r="J2" s="4"/>
    </x:row>
    <x:row r="3" ht="28" customHeight="1">
      <x:c r="C3" s="7" t="str">
        <x:v>Record source, date, status, and limitations for every material input.</x:v>
      </x:c>
      <x:c r="D3" s="7"/>
      <x:c r="E3" s="7"/>
      <x:c r="F3" s="7"/>
      <x:c r="G3" s="7"/>
      <x:c r="H3" s="7"/>
      <x:c r="I3" s="7"/>
      <x:c r="J3" s="7"/>
    </x:row>
    <x:row r="6">
      <x:c r="C6" s="58" t="str">
        <x:v>Source ID</x:v>
      </x:c>
      <x:c r="D6" s="58" t="str">
        <x:v>Field</x:v>
      </x:c>
      <x:c r="E6" s="58" t="str">
        <x:v>Value</x:v>
      </x:c>
      <x:c r="F6" s="58" t="str">
        <x:v>Unit</x:v>
      </x:c>
      <x:c r="G6" s="58" t="str">
        <x:v>Source or document</x:v>
      </x:c>
      <x:c r="H6" s="58" t="str">
        <x:v>Source date</x:v>
      </x:c>
      <x:c r="I6" s="58" t="str">
        <x:v>Retrieved date</x:v>
      </x:c>
      <x:c r="J6" s="58" t="str">
        <x:v>Status</x:v>
      </x:c>
    </x:row>
    <x:row r="7">
      <x:c r="C7" s="103"/>
      <x:c r="D7" s="104"/>
      <x:c r="E7" s="108"/>
      <x:c r="F7" s="104"/>
      <x:c r="G7" s="104"/>
      <x:c r="H7" s="111"/>
      <x:c r="I7" s="111"/>
      <x:c r="J7" s="23"/>
    </x:row>
    <x:row r="8">
      <x:c r="C8" s="105"/>
      <x:c r="D8" s="21"/>
      <x:c r="E8" s="109"/>
      <x:c r="F8" s="21"/>
      <x:c r="G8" s="21"/>
      <x:c r="H8" s="112"/>
      <x:c r="I8" s="112"/>
      <x:c r="J8" s="25"/>
    </x:row>
    <x:row r="9">
      <x:c r="C9" s="105"/>
      <x:c r="D9" s="21"/>
      <x:c r="E9" s="109"/>
      <x:c r="F9" s="21"/>
      <x:c r="G9" s="21"/>
      <x:c r="H9" s="112"/>
      <x:c r="I9" s="112"/>
      <x:c r="J9" s="25"/>
    </x:row>
    <x:row r="10">
      <x:c r="C10" s="105"/>
      <x:c r="D10" s="21"/>
      <x:c r="E10" s="109"/>
      <x:c r="F10" s="21"/>
      <x:c r="G10" s="21"/>
      <x:c r="H10" s="112"/>
      <x:c r="I10" s="112"/>
      <x:c r="J10" s="25"/>
    </x:row>
    <x:row r="11">
      <x:c r="C11" s="105"/>
      <x:c r="D11" s="21"/>
      <x:c r="E11" s="109"/>
      <x:c r="F11" s="21"/>
      <x:c r="G11" s="21"/>
      <x:c r="H11" s="112"/>
      <x:c r="I11" s="112"/>
      <x:c r="J11" s="25"/>
    </x:row>
    <x:row r="12">
      <x:c r="C12" s="105"/>
      <x:c r="D12" s="21"/>
      <x:c r="E12" s="109"/>
      <x:c r="F12" s="21"/>
      <x:c r="G12" s="21"/>
      <x:c r="H12" s="112"/>
      <x:c r="I12" s="112"/>
      <x:c r="J12" s="25"/>
    </x:row>
    <x:row r="13">
      <x:c r="C13" s="105"/>
      <x:c r="D13" s="21"/>
      <x:c r="E13" s="109"/>
      <x:c r="F13" s="21"/>
      <x:c r="G13" s="21"/>
      <x:c r="H13" s="112"/>
      <x:c r="I13" s="112"/>
      <x:c r="J13" s="25"/>
    </x:row>
    <x:row r="14">
      <x:c r="C14" s="105"/>
      <x:c r="D14" s="21"/>
      <x:c r="E14" s="109"/>
      <x:c r="F14" s="21"/>
      <x:c r="G14" s="21"/>
      <x:c r="H14" s="112"/>
      <x:c r="I14" s="112"/>
      <x:c r="J14" s="25"/>
    </x:row>
    <x:row r="15">
      <x:c r="C15" s="105"/>
      <x:c r="D15" s="21"/>
      <x:c r="E15" s="109"/>
      <x:c r="F15" s="21"/>
      <x:c r="G15" s="21"/>
      <x:c r="H15" s="112"/>
      <x:c r="I15" s="112"/>
      <x:c r="J15" s="25"/>
    </x:row>
    <x:row r="16">
      <x:c r="C16" s="105"/>
      <x:c r="D16" s="21"/>
      <x:c r="E16" s="109"/>
      <x:c r="F16" s="21"/>
      <x:c r="G16" s="21"/>
      <x:c r="H16" s="112"/>
      <x:c r="I16" s="112"/>
      <x:c r="J16" s="25"/>
    </x:row>
    <x:row r="17">
      <x:c r="C17" s="105"/>
      <x:c r="D17" s="21"/>
      <x:c r="E17" s="109"/>
      <x:c r="F17" s="21"/>
      <x:c r="G17" s="21"/>
      <x:c r="H17" s="112"/>
      <x:c r="I17" s="112"/>
      <x:c r="J17" s="25"/>
    </x:row>
    <x:row r="18">
      <x:c r="C18" s="105"/>
      <x:c r="D18" s="21"/>
      <x:c r="E18" s="109"/>
      <x:c r="F18" s="21"/>
      <x:c r="G18" s="21"/>
      <x:c r="H18" s="112"/>
      <x:c r="I18" s="112"/>
      <x:c r="J18" s="25"/>
    </x:row>
    <x:row r="19">
      <x:c r="C19" s="105"/>
      <x:c r="D19" s="21"/>
      <x:c r="E19" s="109"/>
      <x:c r="F19" s="21"/>
      <x:c r="G19" s="21"/>
      <x:c r="H19" s="112"/>
      <x:c r="I19" s="112"/>
      <x:c r="J19" s="25"/>
    </x:row>
    <x:row r="20">
      <x:c r="C20" s="105"/>
      <x:c r="D20" s="21"/>
      <x:c r="E20" s="109"/>
      <x:c r="F20" s="21"/>
      <x:c r="G20" s="21"/>
      <x:c r="H20" s="112"/>
      <x:c r="I20" s="112"/>
      <x:c r="J20" s="25"/>
    </x:row>
    <x:row r="21">
      <x:c r="C21" s="105"/>
      <x:c r="D21" s="21"/>
      <x:c r="E21" s="109"/>
      <x:c r="F21" s="21"/>
      <x:c r="G21" s="21"/>
      <x:c r="H21" s="112"/>
      <x:c r="I21" s="112"/>
      <x:c r="J21" s="25"/>
    </x:row>
    <x:row r="22">
      <x:c r="C22" s="105"/>
      <x:c r="D22" s="21"/>
      <x:c r="E22" s="109"/>
      <x:c r="F22" s="21"/>
      <x:c r="G22" s="21"/>
      <x:c r="H22" s="112"/>
      <x:c r="I22" s="112"/>
      <x:c r="J22" s="25"/>
    </x:row>
    <x:row r="23">
      <x:c r="C23" s="105"/>
      <x:c r="D23" s="21"/>
      <x:c r="E23" s="109"/>
      <x:c r="F23" s="21"/>
      <x:c r="G23" s="21"/>
      <x:c r="H23" s="112"/>
      <x:c r="I23" s="112"/>
      <x:c r="J23" s="25"/>
    </x:row>
    <x:row r="24">
      <x:c r="C24" s="105"/>
      <x:c r="D24" s="21"/>
      <x:c r="E24" s="109"/>
      <x:c r="F24" s="21"/>
      <x:c r="G24" s="21"/>
      <x:c r="H24" s="112"/>
      <x:c r="I24" s="112"/>
      <x:c r="J24" s="25"/>
    </x:row>
    <x:row r="25">
      <x:c r="C25" s="105"/>
      <x:c r="D25" s="21"/>
      <x:c r="E25" s="109"/>
      <x:c r="F25" s="21"/>
      <x:c r="G25" s="21"/>
      <x:c r="H25" s="112"/>
      <x:c r="I25" s="112"/>
      <x:c r="J25" s="25"/>
    </x:row>
    <x:row r="26">
      <x:c r="C26" s="106"/>
      <x:c r="D26" s="107"/>
      <x:c r="E26" s="110"/>
      <x:c r="F26" s="107"/>
      <x:c r="G26" s="107"/>
      <x:c r="H26" s="113"/>
      <x:c r="I26" s="113"/>
      <x:c r="J26" s="27"/>
    </x:row>
  </x:sheetData>
  <x:mergeCells>
    <x:mergeCell ref="C2:J2"/>
    <x:mergeCell ref="C3:J3"/>
  </x:mergeCells>
  <x:pageMargins left="0.7" right="0.7" top="0.75" bottom="0.75" header="0.3" footer="0.3"/>
</x:worksheet>
</file>